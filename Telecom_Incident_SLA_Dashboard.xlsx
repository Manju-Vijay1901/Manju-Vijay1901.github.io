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jula\Desktop\"/>
    </mc:Choice>
  </mc:AlternateContent>
  <xr:revisionPtr revIDLastSave="0" documentId="8_{08A7082B-9600-43EA-A05E-C339E6487AEB}" xr6:coauthVersionLast="47" xr6:coauthVersionMax="47" xr10:uidLastSave="{00000000-0000-0000-0000-000000000000}"/>
  <bookViews>
    <workbookView xWindow="-108" yWindow="-108" windowWidth="23256" windowHeight="12456" xr2:uid="{8A06B1CD-9672-458D-8AC2-3A6838F530F0}"/>
  </bookViews>
  <sheets>
    <sheet name="Raw_Data" sheetId="2" r:id="rId1"/>
    <sheet name="KPI_Summary" sheetId="3" r:id="rId2"/>
  </sheets>
  <definedNames>
    <definedName name="_xlnm._FilterDatabase" localSheetId="0" hidden="1">Raw_Data!$A$1:$K$21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3" l="1"/>
  <c r="E12" i="3"/>
  <c r="E11" i="3"/>
  <c r="E10" i="3"/>
  <c r="B11" i="3"/>
  <c r="B7" i="3"/>
  <c r="B6" i="3"/>
  <c r="K2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" i="2"/>
  <c r="B8" i="3" l="1"/>
  <c r="E7" i="3"/>
  <c r="E6" i="3"/>
  <c r="B9" i="3"/>
  <c r="B10" i="3"/>
</calcChain>
</file>

<file path=xl/sharedStrings.xml><?xml version="1.0" encoding="utf-8"?>
<sst xmlns="http://schemas.openxmlformats.org/spreadsheetml/2006/main" count="160" uniqueCount="74">
  <si>
    <t>Incident_ID</t>
  </si>
  <si>
    <t>Created_Date</t>
  </si>
  <si>
    <t>City</t>
  </si>
  <si>
    <t>Priority</t>
  </si>
  <si>
    <t>Team</t>
  </si>
  <si>
    <t>Incident_Category</t>
  </si>
  <si>
    <t>Response_Time_Hours</t>
  </si>
  <si>
    <t>Resolution_Time_Hours</t>
  </si>
  <si>
    <t>SLA_Target_Hours</t>
  </si>
  <si>
    <t>Status</t>
  </si>
  <si>
    <t>INC101</t>
  </si>
  <si>
    <t>Chennai</t>
  </si>
  <si>
    <t>High</t>
  </si>
  <si>
    <t>Team_A</t>
  </si>
  <si>
    <t>Power_Failure</t>
  </si>
  <si>
    <t>Closed</t>
  </si>
  <si>
    <t>INC102</t>
  </si>
  <si>
    <t>Bengaluru</t>
  </si>
  <si>
    <t>Team_B</t>
  </si>
  <si>
    <t>Network_Down</t>
  </si>
  <si>
    <t>INC103</t>
  </si>
  <si>
    <t>Critical</t>
  </si>
  <si>
    <t>Hardware_Fault</t>
  </si>
  <si>
    <t>INC104</t>
  </si>
  <si>
    <t>Coimbatore</t>
  </si>
  <si>
    <t>Medium</t>
  </si>
  <si>
    <t>Team_C</t>
  </si>
  <si>
    <t>Transmission_Issue</t>
  </si>
  <si>
    <t>INC105</t>
  </si>
  <si>
    <t>Hyderabad</t>
  </si>
  <si>
    <t>Low</t>
  </si>
  <si>
    <t>Team_D</t>
  </si>
  <si>
    <t>Alarm_Communication</t>
  </si>
  <si>
    <t>INC106</t>
  </si>
  <si>
    <t>INC107</t>
  </si>
  <si>
    <t>INC108</t>
  </si>
  <si>
    <t>Mumbai</t>
  </si>
  <si>
    <t>INC109</t>
  </si>
  <si>
    <t>INC110</t>
  </si>
  <si>
    <t>INC111</t>
  </si>
  <si>
    <t>INC112</t>
  </si>
  <si>
    <t>INC113</t>
  </si>
  <si>
    <t>INC114</t>
  </si>
  <si>
    <t>INC115</t>
  </si>
  <si>
    <t>INC116</t>
  </si>
  <si>
    <t>In_Progress</t>
  </si>
  <si>
    <t>INC117</t>
  </si>
  <si>
    <t>INC118</t>
  </si>
  <si>
    <t>INC119</t>
  </si>
  <si>
    <t>INC120</t>
  </si>
  <si>
    <t>SLA_Status</t>
  </si>
  <si>
    <t>Within SLA</t>
  </si>
  <si>
    <t>KPI_Name</t>
  </si>
  <si>
    <t>KPI_Value</t>
  </si>
  <si>
    <t>Total Incidents</t>
  </si>
  <si>
    <t>Closed Incidents</t>
  </si>
  <si>
    <t>Open Incidents</t>
  </si>
  <si>
    <t>SLA Breaches</t>
  </si>
  <si>
    <t>SLA Compliance %</t>
  </si>
  <si>
    <t>Average Resolution Hours</t>
  </si>
  <si>
    <t>SLA Status</t>
  </si>
  <si>
    <t>Number of Incidents</t>
  </si>
  <si>
    <t>Breached</t>
  </si>
  <si>
    <t>Business Insights Finding</t>
  </si>
  <si>
    <t>Total Incidents 20 incidents recorded</t>
  </si>
  <si>
    <t>SLA Compliance 63.16% of closed incidents met SLA</t>
  </si>
  <si>
    <t>SLA Breaches 7 closed incidents breached SLA</t>
  </si>
  <si>
    <t>Critical Incidents 4 critical incidents recorded</t>
  </si>
  <si>
    <t>Project Overview Details</t>
  </si>
  <si>
    <t>Dataset 20 incidents</t>
  </si>
  <si>
    <t>Tool Excel 2021</t>
  </si>
  <si>
    <t>Focus SLA Performance</t>
  </si>
  <si>
    <t>Output KPI Dashboard</t>
  </si>
  <si>
    <t xml:space="preserve">                                                                           TELECOM INCIDENT &amp; SLA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</si>
</sst>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 applyBorder="1"/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SLA Compliance Analysis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solidFill>
          <a:schemeClr val="accent5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KPI_Summary!$E$5</c:f>
              <c:strCache>
                <c:ptCount val="1"/>
                <c:pt idx="0">
                  <c:v>Number of Incidents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KPI_Summary!$D$6:$D$7</c:f>
              <c:strCache>
                <c:ptCount val="2"/>
                <c:pt idx="0">
                  <c:v>Within SLA</c:v>
                </c:pt>
                <c:pt idx="1">
                  <c:v>Breached</c:v>
                </c:pt>
              </c:strCache>
            </c:strRef>
          </c:cat>
          <c:val>
            <c:numRef>
              <c:f>KPI_Summary!$E$6:$E$7</c:f>
              <c:numCache>
                <c:formatCode>General</c:formatCode>
                <c:ptCount val="2"/>
                <c:pt idx="0">
                  <c:v>12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7-46AB-8929-C43D20C209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Incidents by Priority</a:t>
            </a:r>
          </a:p>
        </c:rich>
      </c:tx>
      <c:overlay val="0"/>
      <c:spPr>
        <a:solidFill>
          <a:schemeClr val="accent5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KPI_Summary!$E$9</c:f>
              <c:strCache>
                <c:ptCount val="1"/>
                <c:pt idx="0">
                  <c:v>Number of Incidents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KPI_Summary!$D$10:$D$13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Critical</c:v>
                </c:pt>
              </c:strCache>
            </c:strRef>
          </c:cat>
          <c:val>
            <c:numRef>
              <c:f>KPI_Summary!$E$10:$E$13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C-4FCB-850A-16739A237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699295"/>
        <c:axId val="486700255"/>
      </c:barChart>
      <c:catAx>
        <c:axId val="486699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00255"/>
        <c:crosses val="autoZero"/>
        <c:auto val="1"/>
        <c:lblAlgn val="ctr"/>
        <c:lblOffset val="100"/>
        <c:noMultiLvlLbl val="0"/>
      </c:catAx>
      <c:valAx>
        <c:axId val="4867002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69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15</xdr:row>
      <xdr:rowOff>15240</xdr:rowOff>
    </xdr:from>
    <xdr:to>
      <xdr:col>2</xdr:col>
      <xdr:colOff>68580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D7260-8252-9853-4FE1-64EE73872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525780</xdr:colOff>
      <xdr:row>14</xdr:row>
      <xdr:rowOff>60960</xdr:rowOff>
    </xdr:from>
    <xdr:to>
      <xdr:col>5</xdr:col>
      <xdr:colOff>0</xdr:colOff>
      <xdr:row>26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EEAB43-8B9B-1737-B139-FFD9E6A9C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85F7-90AE-4A9B-BB74-3DFB86B34F28}">
  <dimension ref="A1:K21"/>
  <sheetViews>
    <sheetView tabSelected="1" workbookViewId="0">
      <selection activeCell="H23" sqref="H23"/>
    </sheetView>
  </sheetViews>
  <sheetFormatPr defaultRowHeight="14.4"/>
  <cols>
    <col min="1" max="1" width="10.6640625" bestFit="1" customWidth="1"/>
    <col min="2" max="2" width="12.44140625" bestFit="1" customWidth="1"/>
    <col min="3" max="3" width="10.6640625" bestFit="1" customWidth="1"/>
    <col min="4" max="4" width="7.6640625" bestFit="1" customWidth="1"/>
    <col min="5" max="5" width="7.77734375" bestFit="1" customWidth="1"/>
    <col min="6" max="6" width="19.88671875" bestFit="1" customWidth="1"/>
    <col min="7" max="7" width="20.21875" bestFit="1" customWidth="1"/>
    <col min="8" max="8" width="21.109375" bestFit="1" customWidth="1"/>
    <col min="9" max="9" width="16.44140625" bestFit="1" customWidth="1"/>
    <col min="10" max="10" width="6.44140625" bestFit="1" customWidth="1"/>
    <col min="11" max="11" width="10.33203125" bestFit="1" customWidth="1"/>
  </cols>
  <sheetData>
    <row r="1" spans="1:1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50</v>
      </c>
    </row>
    <row r="2" spans="1:11">
      <c r="A2" s="1" t="s">
        <v>10</v>
      </c>
      <c r="B2" s="2">
        <v>46296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2</v>
      </c>
      <c r="H2" s="1">
        <v>6</v>
      </c>
      <c r="I2" s="1">
        <v>8</v>
      </c>
      <c r="J2" s="1" t="s">
        <v>15</v>
      </c>
      <c r="K2" s="1" t="str">
        <f>IF(J2&lt;&gt;"Closed","Open",IF(H2&lt;=I2,"Within SLA","Breached"))</f>
        <v>Within SLA</v>
      </c>
    </row>
    <row r="3" spans="1:11">
      <c r="A3" s="1" t="s">
        <v>16</v>
      </c>
      <c r="B3" s="2">
        <v>46296</v>
      </c>
      <c r="C3" s="1" t="s">
        <v>17</v>
      </c>
      <c r="D3" s="1" t="s">
        <v>12</v>
      </c>
      <c r="E3" s="1" t="s">
        <v>18</v>
      </c>
      <c r="F3" s="1" t="s">
        <v>19</v>
      </c>
      <c r="G3" s="1">
        <v>3</v>
      </c>
      <c r="H3" s="1">
        <v>10</v>
      </c>
      <c r="I3" s="1">
        <v>8</v>
      </c>
      <c r="J3" s="1" t="s">
        <v>15</v>
      </c>
      <c r="K3" s="1" t="str">
        <f t="shared" ref="K3:K20" si="0">IF(J3&lt;&gt;"Closed","Open",IF(H3&lt;=I3,"Within SLA","Breached"))</f>
        <v>Breached</v>
      </c>
    </row>
    <row r="4" spans="1:11">
      <c r="A4" s="1" t="s">
        <v>20</v>
      </c>
      <c r="B4" s="2">
        <v>46297</v>
      </c>
      <c r="C4" s="1" t="s">
        <v>11</v>
      </c>
      <c r="D4" s="1" t="s">
        <v>21</v>
      </c>
      <c r="E4" s="1" t="s">
        <v>13</v>
      </c>
      <c r="F4" s="1" t="s">
        <v>22</v>
      </c>
      <c r="G4" s="1">
        <v>1</v>
      </c>
      <c r="H4" s="1">
        <v>3</v>
      </c>
      <c r="I4" s="1">
        <v>4</v>
      </c>
      <c r="J4" s="1" t="s">
        <v>15</v>
      </c>
      <c r="K4" s="1" t="str">
        <f t="shared" si="0"/>
        <v>Within SLA</v>
      </c>
    </row>
    <row r="5" spans="1:11">
      <c r="A5" s="1" t="s">
        <v>23</v>
      </c>
      <c r="B5" s="2">
        <v>46297</v>
      </c>
      <c r="C5" s="1" t="s">
        <v>24</v>
      </c>
      <c r="D5" s="1" t="s">
        <v>25</v>
      </c>
      <c r="E5" s="1" t="s">
        <v>26</v>
      </c>
      <c r="F5" s="1" t="s">
        <v>27</v>
      </c>
      <c r="G5" s="1">
        <v>5</v>
      </c>
      <c r="H5" s="1">
        <v>18</v>
      </c>
      <c r="I5" s="1">
        <v>24</v>
      </c>
      <c r="J5" s="1" t="s">
        <v>15</v>
      </c>
      <c r="K5" s="1" t="str">
        <f t="shared" si="0"/>
        <v>Within SLA</v>
      </c>
    </row>
    <row r="6" spans="1:11">
      <c r="A6" s="1" t="s">
        <v>28</v>
      </c>
      <c r="B6" s="2">
        <v>46298</v>
      </c>
      <c r="C6" s="1" t="s">
        <v>29</v>
      </c>
      <c r="D6" s="1" t="s">
        <v>30</v>
      </c>
      <c r="E6" s="1" t="s">
        <v>31</v>
      </c>
      <c r="F6" s="1" t="s">
        <v>32</v>
      </c>
      <c r="G6" s="1">
        <v>8</v>
      </c>
      <c r="H6" s="1">
        <v>30</v>
      </c>
      <c r="I6" s="1">
        <v>48</v>
      </c>
      <c r="J6" s="1" t="s">
        <v>15</v>
      </c>
      <c r="K6" s="1" t="str">
        <f t="shared" si="0"/>
        <v>Within SLA</v>
      </c>
    </row>
    <row r="7" spans="1:11">
      <c r="A7" s="1" t="s">
        <v>33</v>
      </c>
      <c r="B7" s="2">
        <v>46298</v>
      </c>
      <c r="C7" s="1" t="s">
        <v>17</v>
      </c>
      <c r="D7" s="1" t="s">
        <v>21</v>
      </c>
      <c r="E7" s="1" t="s">
        <v>18</v>
      </c>
      <c r="F7" s="1" t="s">
        <v>19</v>
      </c>
      <c r="G7" s="1">
        <v>2</v>
      </c>
      <c r="H7" s="1">
        <v>7</v>
      </c>
      <c r="I7" s="1">
        <v>4</v>
      </c>
      <c r="J7" s="1" t="s">
        <v>15</v>
      </c>
      <c r="K7" s="1" t="str">
        <f t="shared" si="0"/>
        <v>Breached</v>
      </c>
    </row>
    <row r="8" spans="1:11">
      <c r="A8" s="1" t="s">
        <v>34</v>
      </c>
      <c r="B8" s="2">
        <v>46299</v>
      </c>
      <c r="C8" s="1" t="s">
        <v>11</v>
      </c>
      <c r="D8" s="1" t="s">
        <v>25</v>
      </c>
      <c r="E8" s="1" t="s">
        <v>26</v>
      </c>
      <c r="F8" s="1" t="s">
        <v>14</v>
      </c>
      <c r="G8" s="1">
        <v>4</v>
      </c>
      <c r="H8" s="1">
        <v>12</v>
      </c>
      <c r="I8" s="1">
        <v>24</v>
      </c>
      <c r="J8" s="1" t="s">
        <v>15</v>
      </c>
      <c r="K8" s="1" t="str">
        <f t="shared" si="0"/>
        <v>Within SLA</v>
      </c>
    </row>
    <row r="9" spans="1:11">
      <c r="A9" s="1" t="s">
        <v>35</v>
      </c>
      <c r="B9" s="2">
        <v>46299</v>
      </c>
      <c r="C9" s="1" t="s">
        <v>36</v>
      </c>
      <c r="D9" s="1" t="s">
        <v>12</v>
      </c>
      <c r="E9" s="1" t="s">
        <v>31</v>
      </c>
      <c r="F9" s="1" t="s">
        <v>22</v>
      </c>
      <c r="G9" s="1">
        <v>2</v>
      </c>
      <c r="H9" s="1">
        <v>5</v>
      </c>
      <c r="I9" s="1">
        <v>8</v>
      </c>
      <c r="J9" s="1" t="s">
        <v>15</v>
      </c>
      <c r="K9" s="1" t="str">
        <f t="shared" si="0"/>
        <v>Within SLA</v>
      </c>
    </row>
    <row r="10" spans="1:11">
      <c r="A10" s="1" t="s">
        <v>37</v>
      </c>
      <c r="B10" s="2">
        <v>46300</v>
      </c>
      <c r="C10" s="1" t="s">
        <v>24</v>
      </c>
      <c r="D10" s="1" t="s">
        <v>12</v>
      </c>
      <c r="E10" s="1" t="s">
        <v>13</v>
      </c>
      <c r="F10" s="1" t="s">
        <v>19</v>
      </c>
      <c r="G10" s="1">
        <v>3</v>
      </c>
      <c r="H10" s="1">
        <v>11</v>
      </c>
      <c r="I10" s="1">
        <v>8</v>
      </c>
      <c r="J10" s="1" t="s">
        <v>15</v>
      </c>
      <c r="K10" s="1" t="str">
        <f t="shared" si="0"/>
        <v>Breached</v>
      </c>
    </row>
    <row r="11" spans="1:11">
      <c r="A11" s="1" t="s">
        <v>38</v>
      </c>
      <c r="B11" s="2">
        <v>46300</v>
      </c>
      <c r="C11" s="1" t="s">
        <v>29</v>
      </c>
      <c r="D11" s="1" t="s">
        <v>25</v>
      </c>
      <c r="E11" s="1" t="s">
        <v>18</v>
      </c>
      <c r="F11" s="1" t="s">
        <v>27</v>
      </c>
      <c r="G11" s="1">
        <v>4</v>
      </c>
      <c r="H11" s="1">
        <v>20</v>
      </c>
      <c r="I11" s="1">
        <v>24</v>
      </c>
      <c r="J11" s="1" t="s">
        <v>15</v>
      </c>
      <c r="K11" s="1" t="str">
        <f t="shared" si="0"/>
        <v>Within SLA</v>
      </c>
    </row>
    <row r="12" spans="1:11">
      <c r="A12" s="1" t="s">
        <v>39</v>
      </c>
      <c r="B12" s="2">
        <v>46301</v>
      </c>
      <c r="C12" s="1" t="s">
        <v>11</v>
      </c>
      <c r="D12" s="1" t="s">
        <v>21</v>
      </c>
      <c r="E12" s="1" t="s">
        <v>26</v>
      </c>
      <c r="F12" s="1" t="s">
        <v>19</v>
      </c>
      <c r="G12" s="1">
        <v>1</v>
      </c>
      <c r="H12" s="1">
        <v>2</v>
      </c>
      <c r="I12" s="1">
        <v>4</v>
      </c>
      <c r="J12" s="1" t="s">
        <v>15</v>
      </c>
      <c r="K12" s="1" t="str">
        <f t="shared" si="0"/>
        <v>Within SLA</v>
      </c>
    </row>
    <row r="13" spans="1:11">
      <c r="A13" s="1" t="s">
        <v>40</v>
      </c>
      <c r="B13" s="2">
        <v>46301</v>
      </c>
      <c r="C13" s="1" t="s">
        <v>17</v>
      </c>
      <c r="D13" s="1" t="s">
        <v>30</v>
      </c>
      <c r="E13" s="1" t="s">
        <v>13</v>
      </c>
      <c r="F13" s="1" t="s">
        <v>14</v>
      </c>
      <c r="G13" s="1">
        <v>6</v>
      </c>
      <c r="H13" s="1">
        <v>52</v>
      </c>
      <c r="I13" s="1">
        <v>48</v>
      </c>
      <c r="J13" s="1" t="s">
        <v>15</v>
      </c>
      <c r="K13" s="1" t="str">
        <f t="shared" si="0"/>
        <v>Breached</v>
      </c>
    </row>
    <row r="14" spans="1:11">
      <c r="A14" s="1" t="s">
        <v>41</v>
      </c>
      <c r="B14" s="2">
        <v>46302</v>
      </c>
      <c r="C14" s="1" t="s">
        <v>36</v>
      </c>
      <c r="D14" s="1" t="s">
        <v>25</v>
      </c>
      <c r="E14" s="1" t="s">
        <v>31</v>
      </c>
      <c r="F14" s="1" t="s">
        <v>22</v>
      </c>
      <c r="G14" s="1">
        <v>3</v>
      </c>
      <c r="H14" s="1">
        <v>16</v>
      </c>
      <c r="I14" s="1">
        <v>24</v>
      </c>
      <c r="J14" s="1" t="s">
        <v>15</v>
      </c>
      <c r="K14" s="1" t="str">
        <f t="shared" si="0"/>
        <v>Within SLA</v>
      </c>
    </row>
    <row r="15" spans="1:11">
      <c r="A15" s="1" t="s">
        <v>42</v>
      </c>
      <c r="B15" s="2">
        <v>46302</v>
      </c>
      <c r="C15" s="1" t="s">
        <v>24</v>
      </c>
      <c r="D15" s="1" t="s">
        <v>12</v>
      </c>
      <c r="E15" s="1" t="s">
        <v>18</v>
      </c>
      <c r="F15" s="1" t="s">
        <v>32</v>
      </c>
      <c r="G15" s="1">
        <v>2</v>
      </c>
      <c r="H15" s="1">
        <v>9</v>
      </c>
      <c r="I15" s="1">
        <v>8</v>
      </c>
      <c r="J15" s="1" t="s">
        <v>15</v>
      </c>
      <c r="K15" s="1" t="str">
        <f t="shared" si="0"/>
        <v>Breached</v>
      </c>
    </row>
    <row r="16" spans="1:11">
      <c r="A16" s="1" t="s">
        <v>43</v>
      </c>
      <c r="B16" s="2">
        <v>46303</v>
      </c>
      <c r="C16" s="1" t="s">
        <v>11</v>
      </c>
      <c r="D16" s="1" t="s">
        <v>12</v>
      </c>
      <c r="E16" s="1" t="s">
        <v>13</v>
      </c>
      <c r="F16" s="1" t="s">
        <v>27</v>
      </c>
      <c r="G16" s="1">
        <v>2</v>
      </c>
      <c r="H16" s="1">
        <v>5</v>
      </c>
      <c r="I16" s="1">
        <v>8</v>
      </c>
      <c r="J16" s="1" t="s">
        <v>15</v>
      </c>
      <c r="K16" s="1" t="str">
        <f t="shared" si="0"/>
        <v>Within SLA</v>
      </c>
    </row>
    <row r="17" spans="1:11">
      <c r="A17" s="1" t="s">
        <v>44</v>
      </c>
      <c r="B17" s="2">
        <v>46303</v>
      </c>
      <c r="C17" s="1" t="s">
        <v>29</v>
      </c>
      <c r="D17" s="1" t="s">
        <v>21</v>
      </c>
      <c r="E17" s="1" t="s">
        <v>31</v>
      </c>
      <c r="F17" s="1" t="s">
        <v>14</v>
      </c>
      <c r="G17" s="1">
        <v>1</v>
      </c>
      <c r="H17" s="1"/>
      <c r="I17" s="1" t="s">
        <v>45</v>
      </c>
      <c r="J17" s="1"/>
      <c r="K17" s="1" t="str">
        <f t="shared" si="0"/>
        <v>Open</v>
      </c>
    </row>
    <row r="18" spans="1:11">
      <c r="A18" s="1" t="s">
        <v>46</v>
      </c>
      <c r="B18" s="2">
        <v>46304</v>
      </c>
      <c r="C18" s="1" t="s">
        <v>17</v>
      </c>
      <c r="D18" s="1" t="s">
        <v>25</v>
      </c>
      <c r="E18" s="1" t="s">
        <v>26</v>
      </c>
      <c r="F18" s="1" t="s">
        <v>19</v>
      </c>
      <c r="G18" s="1">
        <v>5</v>
      </c>
      <c r="H18" s="1">
        <v>28</v>
      </c>
      <c r="I18" s="1">
        <v>24</v>
      </c>
      <c r="J18" s="1" t="s">
        <v>15</v>
      </c>
      <c r="K18" s="1" t="str">
        <f t="shared" si="0"/>
        <v>Breached</v>
      </c>
    </row>
    <row r="19" spans="1:11">
      <c r="A19" s="1" t="s">
        <v>47</v>
      </c>
      <c r="B19" s="2">
        <v>46304</v>
      </c>
      <c r="C19" s="1" t="s">
        <v>36</v>
      </c>
      <c r="D19" s="1" t="s">
        <v>30</v>
      </c>
      <c r="E19" s="1" t="s">
        <v>18</v>
      </c>
      <c r="F19" s="1" t="s">
        <v>22</v>
      </c>
      <c r="G19" s="1">
        <v>7</v>
      </c>
      <c r="H19" s="1">
        <v>35</v>
      </c>
      <c r="I19" s="1">
        <v>48</v>
      </c>
      <c r="J19" s="1" t="s">
        <v>15</v>
      </c>
      <c r="K19" s="1" t="str">
        <f t="shared" si="0"/>
        <v>Within SLA</v>
      </c>
    </row>
    <row r="20" spans="1:11">
      <c r="A20" s="1" t="s">
        <v>48</v>
      </c>
      <c r="B20" s="2">
        <v>46305</v>
      </c>
      <c r="C20" s="1" t="s">
        <v>11</v>
      </c>
      <c r="D20" s="1" t="s">
        <v>12</v>
      </c>
      <c r="E20" s="1" t="s">
        <v>31</v>
      </c>
      <c r="F20" s="1" t="s">
        <v>19</v>
      </c>
      <c r="G20" s="1">
        <v>3</v>
      </c>
      <c r="H20" s="1">
        <v>12</v>
      </c>
      <c r="I20" s="1">
        <v>8</v>
      </c>
      <c r="J20" s="1" t="s">
        <v>15</v>
      </c>
      <c r="K20" s="1" t="str">
        <f t="shared" si="0"/>
        <v>Breached</v>
      </c>
    </row>
    <row r="21" spans="1:11">
      <c r="A21" s="1" t="s">
        <v>49</v>
      </c>
      <c r="B21" s="2">
        <v>46305</v>
      </c>
      <c r="C21" s="1" t="s">
        <v>24</v>
      </c>
      <c r="D21" s="1" t="s">
        <v>25</v>
      </c>
      <c r="E21" s="1" t="s">
        <v>13</v>
      </c>
      <c r="F21" s="1" t="s">
        <v>14</v>
      </c>
      <c r="G21" s="1">
        <v>4</v>
      </c>
      <c r="H21" s="1">
        <v>15</v>
      </c>
      <c r="I21" s="1">
        <v>24</v>
      </c>
      <c r="J21" s="1" t="s">
        <v>15</v>
      </c>
      <c r="K21" s="1" t="str">
        <f>IF(J21&lt;&gt;"Closed","Open",IF(H21&lt;=I21,"Within SLA","Breached"))</f>
        <v>Within SLA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A94C-832C-46AD-A4F5-216E53054EF3}">
  <dimension ref="A1:M28"/>
  <sheetViews>
    <sheetView workbookViewId="0">
      <selection activeCell="J11" sqref="J11"/>
    </sheetView>
  </sheetViews>
  <sheetFormatPr defaultRowHeight="14.4"/>
  <cols>
    <col min="1" max="1" width="30.88671875" customWidth="1"/>
    <col min="2" max="2" width="12.77734375" customWidth="1"/>
    <col min="4" max="4" width="14.5546875" customWidth="1"/>
    <col min="5" max="5" width="30.21875" customWidth="1"/>
    <col min="6" max="6" width="2.33203125" customWidth="1"/>
    <col min="10" max="10" width="23.6640625" customWidth="1"/>
    <col min="11" max="11" width="33.21875" customWidth="1"/>
    <col min="12" max="12" width="2.33203125" customWidth="1"/>
  </cols>
  <sheetData>
    <row r="1" spans="1:13" ht="15" thickBot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4" thickBot="1">
      <c r="A2" s="7"/>
      <c r="B2" s="27" t="s">
        <v>73</v>
      </c>
      <c r="C2" s="28"/>
      <c r="D2" s="28"/>
      <c r="E2" s="29"/>
      <c r="F2" s="30"/>
      <c r="G2" s="31"/>
      <c r="H2" s="30"/>
      <c r="I2" s="30"/>
      <c r="J2" s="32"/>
      <c r="K2" s="8"/>
      <c r="L2" s="8"/>
      <c r="M2" s="8"/>
    </row>
    <row r="3" spans="1:13">
      <c r="A3" s="7"/>
      <c r="B3" s="8"/>
      <c r="C3" s="8"/>
      <c r="D3" s="8"/>
      <c r="E3" s="8"/>
      <c r="F3" s="8"/>
      <c r="G3" s="9"/>
      <c r="H3" s="8"/>
      <c r="I3" s="9"/>
      <c r="J3" s="8"/>
      <c r="K3" s="8"/>
      <c r="L3" s="8"/>
      <c r="M3" s="8"/>
    </row>
    <row r="4" spans="1:13" ht="15" thickBot="1">
      <c r="A4" s="7"/>
      <c r="B4" s="8"/>
      <c r="C4" s="8"/>
      <c r="D4" s="8"/>
      <c r="E4" s="8"/>
      <c r="F4" s="8"/>
      <c r="G4" s="9"/>
      <c r="H4" s="8"/>
      <c r="I4" s="9"/>
      <c r="J4" s="8"/>
      <c r="K4" s="8"/>
      <c r="L4" s="8"/>
      <c r="M4" s="8"/>
    </row>
    <row r="5" spans="1:13" ht="21">
      <c r="A5" s="5" t="s">
        <v>52</v>
      </c>
      <c r="B5" s="5" t="s">
        <v>53</v>
      </c>
      <c r="C5" s="8"/>
      <c r="D5" s="5" t="s">
        <v>60</v>
      </c>
      <c r="E5" s="5" t="s">
        <v>61</v>
      </c>
      <c r="F5" s="8"/>
      <c r="G5" s="21" t="s">
        <v>63</v>
      </c>
      <c r="H5" s="22"/>
      <c r="I5" s="22"/>
      <c r="J5" s="23"/>
      <c r="K5" s="24" t="s">
        <v>68</v>
      </c>
      <c r="L5" s="25"/>
      <c r="M5" s="8"/>
    </row>
    <row r="6" spans="1:13">
      <c r="A6" s="1" t="s">
        <v>54</v>
      </c>
      <c r="B6" s="1">
        <f>COUNTA(Raw_Data!A2:A21)</f>
        <v>20</v>
      </c>
      <c r="C6" s="8"/>
      <c r="D6" s="1" t="s">
        <v>51</v>
      </c>
      <c r="E6" s="1">
        <f>COUNTIF(Raw_Data!K2:K21,"Within SLA")</f>
        <v>12</v>
      </c>
      <c r="F6" s="8"/>
      <c r="G6" s="14" t="s">
        <v>64</v>
      </c>
      <c r="H6" s="11"/>
      <c r="I6" s="11"/>
      <c r="J6" s="12"/>
      <c r="K6" s="13" t="s">
        <v>69</v>
      </c>
      <c r="L6" s="15"/>
      <c r="M6" s="8"/>
    </row>
    <row r="7" spans="1:13">
      <c r="A7" s="1" t="s">
        <v>55</v>
      </c>
      <c r="B7" s="1">
        <f>COUNTIF(Raw_Data!J2:J21,"Closed")</f>
        <v>19</v>
      </c>
      <c r="C7" s="8"/>
      <c r="D7" s="1" t="s">
        <v>62</v>
      </c>
      <c r="E7" s="1">
        <f>COUNTIF(Raw_Data!K2:K21,"Breached")</f>
        <v>7</v>
      </c>
      <c r="F7" s="8"/>
      <c r="G7" s="14" t="s">
        <v>65</v>
      </c>
      <c r="H7" s="11"/>
      <c r="I7" s="11"/>
      <c r="J7" s="12"/>
      <c r="K7" s="13" t="s">
        <v>70</v>
      </c>
      <c r="L7" s="15"/>
      <c r="M7" s="8"/>
    </row>
    <row r="8" spans="1:13">
      <c r="A8" s="1" t="s">
        <v>56</v>
      </c>
      <c r="B8" s="1">
        <f>COUNTIF(Raw_Data!K2:K21,"Open")</f>
        <v>1</v>
      </c>
      <c r="C8" s="8"/>
      <c r="F8" s="8"/>
      <c r="G8" s="14" t="s">
        <v>66</v>
      </c>
      <c r="H8" s="11"/>
      <c r="I8" s="11"/>
      <c r="J8" s="12"/>
      <c r="K8" s="13" t="s">
        <v>71</v>
      </c>
      <c r="L8" s="15"/>
      <c r="M8" s="8"/>
    </row>
    <row r="9" spans="1:13" ht="15" thickBot="1">
      <c r="A9" s="1" t="s">
        <v>57</v>
      </c>
      <c r="B9" s="1">
        <f>COUNTIF(Raw_Data!K2:K21,"Breached")</f>
        <v>7</v>
      </c>
      <c r="C9" s="8"/>
      <c r="D9" s="5" t="s">
        <v>3</v>
      </c>
      <c r="E9" s="5" t="s">
        <v>61</v>
      </c>
      <c r="F9" s="8"/>
      <c r="G9" s="16" t="s">
        <v>67</v>
      </c>
      <c r="H9" s="17"/>
      <c r="I9" s="17"/>
      <c r="J9" s="18"/>
      <c r="K9" s="19" t="s">
        <v>72</v>
      </c>
      <c r="L9" s="20"/>
      <c r="M9" s="8"/>
    </row>
    <row r="10" spans="1:13">
      <c r="A10" s="1" t="s">
        <v>58</v>
      </c>
      <c r="B10" s="3">
        <f>IFERROR(COUNTIF(Raw_Data!K2:K21,"Within SLA")/COUNTIF(Raw_Data!J2:J21,"Closed"),0)</f>
        <v>0.63157894736842102</v>
      </c>
      <c r="C10" s="8"/>
      <c r="D10" s="1" t="s">
        <v>12</v>
      </c>
      <c r="E10" s="6">
        <f>COUNTIF(Raw_Data!D2:D21,"High")</f>
        <v>7</v>
      </c>
      <c r="F10" s="8"/>
      <c r="G10" s="8"/>
      <c r="H10" s="8"/>
      <c r="I10" s="8"/>
      <c r="J10" s="8"/>
      <c r="K10" s="8"/>
      <c r="L10" s="8"/>
      <c r="M10" s="8"/>
    </row>
    <row r="11" spans="1:13">
      <c r="A11" s="1" t="s">
        <v>59</v>
      </c>
      <c r="B11" s="4">
        <f>AVERAGE(Raw_Data!H2:H21)</f>
        <v>15.578947368421053</v>
      </c>
      <c r="D11" s="1" t="s">
        <v>25</v>
      </c>
      <c r="E11" s="6">
        <f>COUNTIF(Raw_Data!D2:D21,"Medium")</f>
        <v>6</v>
      </c>
      <c r="F11" s="8"/>
      <c r="G11" s="8"/>
      <c r="H11" s="8"/>
      <c r="I11" s="8"/>
      <c r="J11" s="8"/>
      <c r="K11" s="8"/>
      <c r="L11" s="8"/>
      <c r="M11" s="8"/>
    </row>
    <row r="12" spans="1:13">
      <c r="A12" s="8"/>
      <c r="B12" s="8"/>
      <c r="C12" s="8"/>
      <c r="D12" s="1" t="s">
        <v>30</v>
      </c>
      <c r="E12" s="1">
        <f>COUNTIF(Raw_Data!D2:D21,"Low")</f>
        <v>3</v>
      </c>
      <c r="F12" s="8"/>
      <c r="G12" s="8"/>
      <c r="H12" s="8"/>
      <c r="I12" s="8"/>
      <c r="J12" s="8"/>
      <c r="K12" s="8"/>
      <c r="L12" s="8"/>
      <c r="M12" s="8"/>
    </row>
    <row r="13" spans="1:13">
      <c r="A13" s="8"/>
      <c r="B13" s="8"/>
      <c r="C13" s="8"/>
      <c r="D13" s="10" t="s">
        <v>21</v>
      </c>
      <c r="E13" s="10">
        <f>COUNTIF(Raw_Data!D2:D21,"Critical")</f>
        <v>4</v>
      </c>
      <c r="F13" s="8"/>
      <c r="G13" s="8"/>
      <c r="H13" s="8"/>
      <c r="I13" s="8"/>
      <c r="J13" s="8"/>
      <c r="K13" s="8"/>
      <c r="L13" s="8"/>
      <c r="M13" s="8"/>
    </row>
    <row r="14" spans="1:13">
      <c r="A14" s="8"/>
      <c r="B14" s="8"/>
      <c r="C14" s="8"/>
      <c r="D14" s="9"/>
      <c r="E14" s="9"/>
      <c r="F14" s="8"/>
      <c r="G14" s="8"/>
      <c r="H14" s="8"/>
      <c r="I14" s="8"/>
      <c r="J14" s="8"/>
      <c r="K14" s="8"/>
      <c r="L14" s="8"/>
      <c r="M14" s="8"/>
    </row>
    <row r="15" spans="1:1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>
      <c r="C16" s="8"/>
      <c r="F16" s="8"/>
      <c r="G16" s="8"/>
      <c r="H16" s="8"/>
      <c r="I16" s="8"/>
      <c r="J16" s="8"/>
      <c r="K16" s="8"/>
      <c r="L16" s="8"/>
      <c r="M16" s="8"/>
    </row>
    <row r="17" spans="1:13">
      <c r="C17" s="8"/>
      <c r="F17" s="8"/>
      <c r="G17" s="8"/>
      <c r="H17" s="8"/>
      <c r="I17" s="8"/>
      <c r="J17" s="8"/>
      <c r="K17" s="8"/>
      <c r="L17" s="8"/>
      <c r="M17" s="8"/>
    </row>
    <row r="18" spans="1:13">
      <c r="C18" s="8"/>
      <c r="F18" s="8"/>
      <c r="G18" s="8"/>
      <c r="H18" s="8"/>
      <c r="I18" s="8"/>
      <c r="J18" s="8"/>
      <c r="K18" s="8"/>
      <c r="L18" s="8"/>
      <c r="M18" s="8"/>
    </row>
    <row r="19" spans="1:13">
      <c r="C19" s="8"/>
      <c r="F19" s="8"/>
      <c r="G19" s="8"/>
      <c r="H19" s="8"/>
      <c r="I19" s="8"/>
      <c r="J19" s="8"/>
      <c r="K19" s="8"/>
      <c r="L19" s="8"/>
      <c r="M19" s="8"/>
    </row>
    <row r="20" spans="1:13">
      <c r="C20" s="8"/>
      <c r="F20" s="8"/>
      <c r="G20" s="8"/>
      <c r="H20" s="8"/>
      <c r="I20" s="8"/>
      <c r="J20" s="8"/>
      <c r="K20" s="8"/>
      <c r="L20" s="8"/>
      <c r="M20" s="8"/>
    </row>
    <row r="21" spans="1:13">
      <c r="C21" s="8"/>
      <c r="F21" s="8"/>
      <c r="G21" s="8"/>
      <c r="H21" s="8"/>
      <c r="I21" s="8"/>
      <c r="J21" s="8"/>
      <c r="K21" s="8"/>
      <c r="L21" s="8"/>
      <c r="M21" s="8"/>
    </row>
    <row r="22" spans="1:13">
      <c r="C22" s="8"/>
      <c r="F22" s="8"/>
      <c r="G22" s="8"/>
      <c r="H22" s="8"/>
      <c r="I22" s="8"/>
      <c r="J22" s="8"/>
      <c r="K22" s="8"/>
      <c r="L22" s="8"/>
      <c r="M22" s="8"/>
    </row>
    <row r="23" spans="1:13">
      <c r="C23" s="8"/>
      <c r="F23" s="8"/>
      <c r="G23" s="8"/>
      <c r="H23" s="8"/>
      <c r="I23" s="8"/>
      <c r="J23" s="7"/>
      <c r="K23" s="8"/>
      <c r="L23" s="8"/>
      <c r="M23" s="8"/>
    </row>
    <row r="24" spans="1:13">
      <c r="C24" s="8"/>
      <c r="F24" s="8"/>
      <c r="G24" s="8"/>
      <c r="H24" s="8"/>
      <c r="I24" s="8"/>
      <c r="J24" s="8"/>
      <c r="K24" s="8"/>
      <c r="L24" s="8"/>
      <c r="M24" s="8"/>
    </row>
    <row r="25" spans="1:13">
      <c r="C25" s="8"/>
      <c r="F25" s="8"/>
      <c r="G25" s="8"/>
      <c r="H25" s="8"/>
      <c r="I25" s="8"/>
      <c r="J25" s="8"/>
      <c r="K25" s="8"/>
      <c r="L25" s="8"/>
      <c r="M25" s="8"/>
    </row>
    <row r="26" spans="1:13">
      <c r="C26" s="8"/>
      <c r="F26" s="8"/>
      <c r="G26" s="8"/>
      <c r="H26" s="8"/>
      <c r="I26" s="8"/>
      <c r="J26" s="8"/>
      <c r="K26" s="8"/>
      <c r="L26" s="8"/>
      <c r="M26" s="8"/>
    </row>
    <row r="27" spans="1:13" ht="21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F28" s="8"/>
      <c r="G28" s="8"/>
      <c r="H28" s="8"/>
      <c r="I28" s="8"/>
      <c r="J28" s="8"/>
      <c r="K28" s="8"/>
      <c r="L28" s="8"/>
      <c r="M28" s="8"/>
    </row>
  </sheetData>
  <mergeCells count="10">
    <mergeCell ref="G9:J9"/>
    <mergeCell ref="K5:L5"/>
    <mergeCell ref="K6:L6"/>
    <mergeCell ref="K7:L7"/>
    <mergeCell ref="K8:L8"/>
    <mergeCell ref="K9:L9"/>
    <mergeCell ref="G5:J5"/>
    <mergeCell ref="G6:J6"/>
    <mergeCell ref="G7:J7"/>
    <mergeCell ref="G8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KPI_Summary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Manjula v</dc:creator>
  <cp:lastModifiedBy>Manjula v</cp:lastModifiedBy>
  <dcterms:created xsi:type="dcterms:W3CDTF">2026-10-21T08:11:28Z</dcterms:created>
  <dcterms:modified xsi:type="dcterms:W3CDTF">2026-10-21T16:39:10Z</dcterms:modified>
</cp:coreProperties>
</file>